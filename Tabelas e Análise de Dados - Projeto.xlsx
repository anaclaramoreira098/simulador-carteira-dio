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cl\Downloads\"/>
    </mc:Choice>
  </mc:AlternateContent>
  <xr:revisionPtr revIDLastSave="0" documentId="8_{4AE61A09-99FC-4DD6-A6AB-71B222E95281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Projeto" sheetId="1" r:id="rId1"/>
    <sheet name="Apoio" sheetId="2" r:id="rId2"/>
  </sheets>
  <definedNames>
    <definedName name="aporte">Projeto!$D$17</definedName>
    <definedName name="patrimonio">Projeto!$D$20</definedName>
    <definedName name="qtd_anos">Projeto!$D$18</definedName>
    <definedName name="rendimento_carteira">Projeto!$D$13</definedName>
    <definedName name="salario">Projeto!$D$12</definedName>
    <definedName name="sugestao_investimento">Projeto!$D$14</definedName>
    <definedName name="taxa_mensal">Projeto!$D$19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H4" i="2"/>
  <c r="D14" i="1"/>
  <c r="C36" i="1"/>
  <c r="C37" i="1"/>
  <c r="C38" i="1"/>
  <c r="C39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<sst xmlns="http://schemas.openxmlformats.org/spreadsheetml/2006/main" count="71" uniqueCount="35">
  <si>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</si>
  <si>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</si>
  <si>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</si>
  <si>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</si>
  <si>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</si>
  <si>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</si>
  <si>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</si>
  <si>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</si>
  <si>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</si>
  <si>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</si>
  <si>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</si>
  <si>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</si>
  <si>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</si>
  <si>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</si>
  <si>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</si>
  <si>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</si>
  <si>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</si>
  <si>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</si>
  <si>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</si>
  <si>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</si>
  <si>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</si>
  <si>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</si>
  <si>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</si>
  <si>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</si>
  <si>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</si>
  <si>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</si>
  <si>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</si>
  <si>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</si>
  <si>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</si>
  <si>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</si>
  <si>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</si>
  <si>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</si>
  <si>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Moderado-TIJOLO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</si>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</sst>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</font>
    <font>
      <sz val="18"/>
      <color theme="0"/>
      <name val="Aptos Narrow"/>
    </font>
    <font>
      <sz val="20"/>
      <color theme="0"/>
      <name val="Aptos Narrow"/>
    </font>
    <font>
      <sz val="12"/>
      <color theme="1"/>
      <name val="Aptos Narrow"/>
    </font>
    <font>
      <sz val="11"/>
      <color theme="0"/>
      <name val="Aptos Narrow"/>
    </font>
    <font>
      <sz val="11"/>
      <color rgb="FF9C5700"/>
      <name val="Aptos Narrow"/>
    </font>
    <font>
      <b/>
      <sz val="20"/>
      <color rgb="FF000000"/>
      <name val="Aptos Narrow"/>
    </font>
    <font>
      <b/>
      <sz val="18"/>
      <color rgb="FFFFFFFF"/>
      <name val="Aptos Narrow"/>
    </font>
    <font>
      <b/>
      <sz val="11"/>
      <color theme="0"/>
      <name val="Aptos Narrow"/>
    </font>
    <font>
      <b/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93E44"/>
        <bgColor indexed="64"/>
      </patternFill>
    </fill>
    <fill>
      <patternFill patternType="solid">
        <fgColor rgb="FF29DE8D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4" fillId="0" borderId="0" xfId="0" applyFont="1"/>
    <xf numFmtId="164" fontId="4" fillId="0" borderId="7" xfId="1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8" fontId="4" fillId="3" borderId="10" xfId="0" applyNumberFormat="1" applyFont="1" applyFill="1" applyBorder="1" applyAlignment="1">
      <alignment horizontal="center"/>
    </xf>
    <xf numFmtId="8" fontId="4" fillId="3" borderId="13" xfId="0" applyNumberFormat="1" applyFont="1" applyFill="1" applyBorder="1" applyAlignment="1">
      <alignment horizontal="center"/>
    </xf>
    <xf numFmtId="9" fontId="4" fillId="0" borderId="0" xfId="0" applyNumberFormat="1" applyFont="1"/>
    <xf numFmtId="0" fontId="8" fillId="0" borderId="0" xfId="0" applyFont="1"/>
    <xf numFmtId="0" fontId="4" fillId="4" borderId="0" xfId="0" applyFont="1" applyFill="1"/>
    <xf numFmtId="164" fontId="4" fillId="4" borderId="0" xfId="1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5" borderId="0" xfId="0" applyFont="1" applyFill="1"/>
    <xf numFmtId="164" fontId="4" fillId="5" borderId="0" xfId="0" applyNumberFormat="1" applyFont="1" applyFill="1" applyAlignment="1">
      <alignment horizontal="center"/>
    </xf>
    <xf numFmtId="0" fontId="7" fillId="3" borderId="14" xfId="0" applyFont="1" applyFill="1" applyBorder="1" applyAlignment="1">
      <alignment horizontal="left" indent="3"/>
    </xf>
    <xf numFmtId="164" fontId="4" fillId="3" borderId="15" xfId="0" applyNumberFormat="1" applyFont="1" applyFill="1" applyBorder="1" applyAlignment="1">
      <alignment horizontal="center"/>
    </xf>
    <xf numFmtId="164" fontId="4" fillId="3" borderId="16" xfId="0" applyNumberFormat="1" applyFont="1" applyFill="1" applyBorder="1" applyAlignment="1">
      <alignment horizontal="center"/>
    </xf>
    <xf numFmtId="0" fontId="7" fillId="3" borderId="17" xfId="0" applyFont="1" applyFill="1" applyBorder="1" applyAlignment="1">
      <alignment horizontal="left" indent="3"/>
    </xf>
    <xf numFmtId="164" fontId="4" fillId="3" borderId="18" xfId="0" applyNumberFormat="1" applyFont="1" applyFill="1" applyBorder="1" applyAlignment="1">
      <alignment horizontal="center"/>
    </xf>
    <xf numFmtId="164" fontId="4" fillId="3" borderId="19" xfId="0" applyNumberFormat="1" applyFont="1" applyFill="1" applyBorder="1" applyAlignment="1">
      <alignment horizontal="center"/>
    </xf>
    <xf numFmtId="0" fontId="7" fillId="3" borderId="20" xfId="0" applyFont="1" applyFill="1" applyBorder="1" applyAlignment="1">
      <alignment horizontal="left" indent="3"/>
    </xf>
    <xf numFmtId="164" fontId="4" fillId="3" borderId="21" xfId="0" applyNumberFormat="1" applyFont="1" applyFill="1" applyBorder="1" applyAlignment="1">
      <alignment horizontal="center"/>
    </xf>
    <xf numFmtId="164" fontId="4" fillId="3" borderId="22" xfId="0" applyNumberFormat="1" applyFont="1" applyFill="1" applyBorder="1" applyAlignment="1">
      <alignment horizontal="center"/>
    </xf>
    <xf numFmtId="0" fontId="9" fillId="6" borderId="0" xfId="3" applyFont="1" applyFill="1"/>
    <xf numFmtId="0" fontId="12" fillId="6" borderId="0" xfId="3" applyFont="1" applyFill="1"/>
    <xf numFmtId="0" fontId="12" fillId="6" borderId="0" xfId="3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0" fillId="7" borderId="0" xfId="3" applyFont="1" applyFill="1"/>
    <xf numFmtId="9" fontId="0" fillId="7" borderId="0" xfId="2" applyFont="1" applyFill="1"/>
    <xf numFmtId="0" fontId="13" fillId="7" borderId="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indent="3"/>
    </xf>
    <xf numFmtId="0" fontId="4" fillId="4" borderId="6" xfId="0" applyFont="1" applyFill="1" applyBorder="1" applyAlignment="1">
      <alignment horizontal="left" indent="3"/>
    </xf>
    <xf numFmtId="0" fontId="4" fillId="4" borderId="8" xfId="0" applyFont="1" applyFill="1" applyBorder="1" applyAlignment="1">
      <alignment horizontal="left" indent="3"/>
    </xf>
    <xf numFmtId="0" fontId="4" fillId="4" borderId="9" xfId="0" applyFont="1" applyFill="1" applyBorder="1" applyAlignment="1">
      <alignment horizontal="left" indent="3"/>
    </xf>
    <xf numFmtId="0" fontId="4" fillId="4" borderId="11" xfId="0" applyFont="1" applyFill="1" applyBorder="1" applyAlignment="1">
      <alignment horizontal="left" indent="3"/>
    </xf>
    <xf numFmtId="0" fontId="4" fillId="4" borderId="12" xfId="0" applyFont="1" applyFill="1" applyBorder="1" applyAlignment="1">
      <alignment horizontal="left" indent="3"/>
    </xf>
    <xf numFmtId="0" fontId="4" fillId="3" borderId="8" xfId="0" applyFont="1" applyFill="1" applyBorder="1" applyAlignment="1">
      <alignment horizontal="left" indent="3"/>
    </xf>
    <xf numFmtId="0" fontId="4" fillId="3" borderId="9" xfId="0" applyFont="1" applyFill="1" applyBorder="1" applyAlignment="1">
      <alignment horizontal="left" indent="3"/>
    </xf>
    <xf numFmtId="0" fontId="10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indent="3"/>
    </xf>
    <xf numFmtId="0" fontId="4" fillId="3" borderId="12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29DE8D"/>
      <color rgb="FF093E44"/>
      <color rgb="FF24D58F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Projeto!$C$35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C-4C5C-A4EB-0016261CC0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C-4C5C-A4EB-0016261CC0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C-4C5C-A4EB-0016261CC01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C-4C5C-A4EB-0016261CC01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8C-4C5C-A4EB-0016261CC01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8C-4C5C-A4EB-0016261CC0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Projeto!$B$36:$B$41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Projeto!$C$36:$C$41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0</xdr:row>
      <xdr:rowOff>171450</xdr:rowOff>
    </xdr:from>
    <xdr:to>
      <xdr:col>4</xdr:col>
      <xdr:colOff>76200</xdr:colOff>
      <xdr:row>9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95275" y="171450"/>
          <a:ext cx="7905750" cy="1695450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  <a:ext uri="{147F2762-F138-4A5C-976F-8EAC2B608ADB}">
              <a16:predDERef xmlns:a16="http://schemas.microsoft.com/office/drawing/2014/main" pred="{A06C0C26-EE62-D9A1-8A3D-A7E61EE75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1:H57"/>
  <sheetViews>
    <sheetView showGridLines="0" tabSelected="1" zoomScale="85" zoomScaleNormal="85" workbookViewId="0">
      <selection activeCell="B32" sqref="B32"/>
    </sheetView>
  </sheetViews>
  <sheetFormatPr defaultColWidth="0" defaultRowHeight="14.4" x14ac:dyDescent="0.3"/>
  <cols>
    <col min="1" max="1" width="5.44140625" style="6" customWidth="1"/>
    <col min="2" max="2" width="54.109375" style="6" customWidth="1"/>
    <col min="3" max="3" width="47.33203125" style="6" customWidth="1"/>
    <col min="4" max="4" width="15" style="6" customWidth="1"/>
    <col min="5" max="7" width="3.5546875" style="6" customWidth="1"/>
    <col min="8" max="8" width="8" style="6" customWidth="1"/>
    <col min="9" max="16384" width="8.6640625" style="6" hidden="1"/>
  </cols>
  <sheetData>
    <row r="11" spans="2:4" ht="21" customHeight="1" x14ac:dyDescent="0.3">
      <c r="B11" s="44" t="s">
        <v>0</v>
      </c>
      <c r="C11" s="45"/>
      <c r="D11" s="46"/>
    </row>
    <row r="12" spans="2:4" x14ac:dyDescent="0.3">
      <c r="B12" s="47" t="s">
        <v>1</v>
      </c>
      <c r="C12" s="48"/>
      <c r="D12" s="7">
        <v>2000</v>
      </c>
    </row>
    <row r="13" spans="2:4" x14ac:dyDescent="0.3">
      <c r="B13" s="49" t="s">
        <v>2</v>
      </c>
      <c r="C13" s="50"/>
      <c r="D13" s="8">
        <v>6.0000000000000001E-3</v>
      </c>
    </row>
    <row r="14" spans="2:4" x14ac:dyDescent="0.3">
      <c r="B14" s="51" t="s">
        <v>3</v>
      </c>
      <c r="C14" s="52"/>
      <c r="D14" s="9">
        <f>D12*30%</f>
        <v>600</v>
      </c>
    </row>
    <row r="16" spans="2:4" ht="28.5" customHeight="1" x14ac:dyDescent="0.3">
      <c r="B16" s="55" t="s">
        <v>4</v>
      </c>
      <c r="C16" s="56"/>
      <c r="D16" s="57"/>
    </row>
    <row r="17" spans="1:6" x14ac:dyDescent="0.3">
      <c r="B17" s="47" t="s">
        <v>5</v>
      </c>
      <c r="C17" s="48"/>
      <c r="D17" s="10">
        <v>5000</v>
      </c>
    </row>
    <row r="18" spans="1:6" x14ac:dyDescent="0.3">
      <c r="B18" s="49" t="s">
        <v>6</v>
      </c>
      <c r="C18" s="50"/>
      <c r="D18" s="11">
        <v>5</v>
      </c>
    </row>
    <row r="19" spans="1:6" x14ac:dyDescent="0.3">
      <c r="B19" s="49" t="s">
        <v>7</v>
      </c>
      <c r="C19" s="50"/>
      <c r="D19" s="8">
        <v>1.0789999999999999E-2</v>
      </c>
    </row>
    <row r="20" spans="1:6" x14ac:dyDescent="0.3">
      <c r="B20" s="53" t="s">
        <v>8</v>
      </c>
      <c r="C20" s="54"/>
      <c r="D20" s="12">
        <f>FV(taxa_mensal,qtd_anos*12,aporte*-1)</f>
        <v>418884.56999243819</v>
      </c>
    </row>
    <row r="21" spans="1:6" x14ac:dyDescent="0.3">
      <c r="B21" s="58" t="s">
        <v>9</v>
      </c>
      <c r="C21" s="59"/>
      <c r="D21" s="13">
        <f>patrimonio*rendimento_carteira</f>
        <v>2513.307419954629</v>
      </c>
      <c r="F21" s="14"/>
    </row>
    <row r="23" spans="1:6" ht="25.8" x14ac:dyDescent="0.3">
      <c r="B23" s="55" t="s">
        <v>10</v>
      </c>
      <c r="C23" s="56"/>
      <c r="D23" s="43" t="s">
        <v>11</v>
      </c>
    </row>
    <row r="24" spans="1:6" ht="15.6" x14ac:dyDescent="0.3">
      <c r="A24" s="15">
        <v>2</v>
      </c>
      <c r="B24" s="24" t="s">
        <v>12</v>
      </c>
      <c r="C24" s="25">
        <f>FV($D$19,$A24*12,$D$17*-1)</f>
        <v>136138.1364882261</v>
      </c>
      <c r="D24" s="26">
        <f>C24*rendimento_carteira</f>
        <v>816.82881892935654</v>
      </c>
    </row>
    <row r="25" spans="1:6" ht="15.6" x14ac:dyDescent="0.3">
      <c r="A25" s="15">
        <v>5</v>
      </c>
      <c r="B25" s="27" t="s">
        <v>13</v>
      </c>
      <c r="C25" s="28">
        <f>FV($D$19,$A25*12,$D$17*-1)</f>
        <v>418884.56999243819</v>
      </c>
      <c r="D25" s="29">
        <f>C25*rendimento_carteira</f>
        <v>2513.307419954629</v>
      </c>
    </row>
    <row r="26" spans="1:6" ht="15.6" x14ac:dyDescent="0.3">
      <c r="A26" s="15">
        <v>10</v>
      </c>
      <c r="B26" s="27" t="s">
        <v>14</v>
      </c>
      <c r="C26" s="28">
        <f>FV($D$19,$A26*12,$D$17*-1)</f>
        <v>1216421.062650861</v>
      </c>
      <c r="D26" s="29">
        <f>C26*rendimento_carteira</f>
        <v>7298.5263759051659</v>
      </c>
    </row>
    <row r="27" spans="1:6" ht="15.6" x14ac:dyDescent="0.3">
      <c r="A27" s="15">
        <v>20</v>
      </c>
      <c r="B27" s="27" t="s">
        <v>15</v>
      </c>
      <c r="C27" s="28">
        <f>FV($D$19,$A27*12,$D$17*-1)</f>
        <v>5625992.0004854025</v>
      </c>
      <c r="D27" s="29">
        <f>C27*rendimento_carteira</f>
        <v>33755.952002912418</v>
      </c>
    </row>
    <row r="28" spans="1:6" ht="15.6" x14ac:dyDescent="0.3">
      <c r="A28" s="15">
        <v>30</v>
      </c>
      <c r="B28" s="30" t="s">
        <v>16</v>
      </c>
      <c r="C28" s="31">
        <f>FV($D$19,$A28*12,$D$17*-1)</f>
        <v>21610848.275023572</v>
      </c>
      <c r="D28" s="32">
        <f>C28*rendimento_carteira</f>
        <v>129665.08965014144</v>
      </c>
    </row>
    <row r="32" spans="1:6" x14ac:dyDescent="0.3">
      <c r="B32" s="34" t="s">
        <v>17</v>
      </c>
      <c r="C32" s="35" t="s">
        <v>34</v>
      </c>
      <c r="D32" s="33"/>
    </row>
    <row r="33" spans="2:4" x14ac:dyDescent="0.3">
      <c r="B33" s="16" t="s">
        <v>19</v>
      </c>
      <c r="C33" s="17">
        <f>aporte</f>
        <v>5000</v>
      </c>
      <c r="D33" s="16"/>
    </row>
    <row r="35" spans="2:4" x14ac:dyDescent="0.3">
      <c r="B35" s="18" t="s">
        <v>20</v>
      </c>
      <c r="C35" s="18" t="s">
        <v>21</v>
      </c>
      <c r="D35" s="18" t="s">
        <v>22</v>
      </c>
    </row>
    <row r="36" spans="2:4" x14ac:dyDescent="0.3">
      <c r="B36" s="19" t="s">
        <v>23</v>
      </c>
      <c r="C36" s="20">
        <f>VLOOKUP($C$32&amp;"-"&amp;B36,Apoio!$A:$D,4,FALSE)</f>
        <v>0.5</v>
      </c>
      <c r="D36" s="21">
        <f>C36*$C$33</f>
        <v>2500</v>
      </c>
    </row>
    <row r="37" spans="2:4" x14ac:dyDescent="0.3">
      <c r="B37" s="19" t="s">
        <v>24</v>
      </c>
      <c r="C37" s="20">
        <f>VLOOKUP($C$32&amp;"-"&amp;B37,Apoio!$A:$D,4,FALSE)</f>
        <v>0.1</v>
      </c>
      <c r="D37" s="21">
        <f t="shared" ref="D37:D41" si="0">C37*$C$33</f>
        <v>500</v>
      </c>
    </row>
    <row r="38" spans="2:4" x14ac:dyDescent="0.3">
      <c r="B38" s="19" t="s">
        <v>25</v>
      </c>
      <c r="C38" s="20">
        <f>VLOOKUP($C$32&amp;"-"&amp;B38,Apoio!$A:$D,4,FALSE)</f>
        <v>0.05</v>
      </c>
      <c r="D38" s="21">
        <f t="shared" si="0"/>
        <v>250</v>
      </c>
    </row>
    <row r="39" spans="2:4" x14ac:dyDescent="0.3">
      <c r="B39" s="19" t="s">
        <v>26</v>
      </c>
      <c r="C39" s="20">
        <f>VLOOKUP($C$32&amp;"-"&amp;B39,Apoio!$A:$D,4,FALSE)</f>
        <v>0.05</v>
      </c>
      <c r="D39" s="21">
        <f t="shared" si="0"/>
        <v>250</v>
      </c>
    </row>
    <row r="40" spans="2:4" x14ac:dyDescent="0.3">
      <c r="B40" s="19" t="s">
        <v>27</v>
      </c>
      <c r="C40" s="20">
        <f>VLOOKUP($C$32&amp;"-"&amp;B40,Apoio!$A:$D,4,FALSE)</f>
        <v>0.2</v>
      </c>
      <c r="D40" s="21">
        <f t="shared" si="0"/>
        <v>1000</v>
      </c>
    </row>
    <row r="41" spans="2:4" x14ac:dyDescent="0.3">
      <c r="B41" s="19" t="s">
        <v>28</v>
      </c>
      <c r="C41" s="20">
        <f>VLOOKUP($C$32&amp;"-"&amp;B41,Apoio!$A:$D,4,FALSE)</f>
        <v>0.1</v>
      </c>
      <c r="D41" s="21">
        <f t="shared" si="0"/>
        <v>500</v>
      </c>
    </row>
    <row r="42" spans="2:4" x14ac:dyDescent="0.3">
      <c r="B42" s="22"/>
      <c r="C42" s="22"/>
      <c r="D42" s="23">
        <f>SUM(D36:D41)</f>
        <v>5000</v>
      </c>
    </row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</sheetData>
  <mergeCells count="11">
    <mergeCell ref="B23:C23"/>
    <mergeCell ref="B17:C17"/>
    <mergeCell ref="B18:C18"/>
    <mergeCell ref="B19:C19"/>
    <mergeCell ref="B21:C21"/>
    <mergeCell ref="B11:D11"/>
    <mergeCell ref="B12:C12"/>
    <mergeCell ref="B13:C13"/>
    <mergeCell ref="B14:C14"/>
    <mergeCell ref="B20:C20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15" sqref="C15"/>
    </sheetView>
  </sheetViews>
  <sheetFormatPr defaultRowHeight="14.4" x14ac:dyDescent="0.3"/>
  <cols>
    <col min="1" max="1" width="29.109375" bestFit="1" customWidth="1"/>
    <col min="2" max="2" width="11.5546875" bestFit="1" customWidth="1"/>
    <col min="3" max="3" width="17.6640625" bestFit="1" customWidth="1"/>
    <col min="7" max="7" width="15.44140625" bestFit="1" customWidth="1"/>
  </cols>
  <sheetData>
    <row r="2" spans="1:8" x14ac:dyDescent="0.3">
      <c r="A2" s="36" t="s">
        <v>29</v>
      </c>
      <c r="B2" s="36" t="s">
        <v>30</v>
      </c>
      <c r="C2" s="37" t="s">
        <v>20</v>
      </c>
      <c r="D2" s="37" t="s">
        <v>31</v>
      </c>
    </row>
    <row r="3" spans="1:8" x14ac:dyDescent="0.3">
      <c r="A3" t="str">
        <f>B3&amp;"-"&amp;C3</f>
        <v>Conservador-PAPEL</v>
      </c>
      <c r="B3" t="s">
        <v>18</v>
      </c>
      <c r="C3" s="1" t="s">
        <v>23</v>
      </c>
      <c r="D3" s="2">
        <v>0.3</v>
      </c>
      <c r="H3" t="s">
        <v>31</v>
      </c>
    </row>
    <row r="4" spans="1:8" x14ac:dyDescent="0.3">
      <c r="A4" t="str">
        <f t="shared" ref="A4:A20" si="0">B4&amp;"-"&amp;C4</f>
        <v>Conservador-TIJOLO</v>
      </c>
      <c r="B4" t="s">
        <v>18</v>
      </c>
      <c r="C4" s="1" t="s">
        <v>24</v>
      </c>
      <c r="D4" s="2">
        <v>0.5</v>
      </c>
      <c r="G4" s="41" t="s">
        <v>32</v>
      </c>
      <c r="H4" s="42">
        <f>VLOOKUP(G4,$A:$D,4,FALSE)</f>
        <v>0.35</v>
      </c>
    </row>
    <row r="5" spans="1:8" x14ac:dyDescent="0.3">
      <c r="A5" t="str">
        <f t="shared" si="0"/>
        <v>Conservador-HÍBRIDOS</v>
      </c>
      <c r="B5" t="s">
        <v>18</v>
      </c>
      <c r="C5" s="1" t="s">
        <v>25</v>
      </c>
      <c r="D5" s="2">
        <v>0.1</v>
      </c>
    </row>
    <row r="6" spans="1:8" x14ac:dyDescent="0.3">
      <c r="A6" t="str">
        <f t="shared" si="0"/>
        <v>Conservador-FOFs</v>
      </c>
      <c r="B6" t="s">
        <v>18</v>
      </c>
      <c r="C6" s="1" t="s">
        <v>26</v>
      </c>
      <c r="D6" s="2">
        <v>0.1</v>
      </c>
    </row>
    <row r="7" spans="1:8" x14ac:dyDescent="0.3">
      <c r="A7" t="str">
        <f t="shared" si="0"/>
        <v>Conservador-DESENVOLVIMENTO</v>
      </c>
      <c r="B7" t="s">
        <v>18</v>
      </c>
      <c r="C7" s="1" t="s">
        <v>27</v>
      </c>
      <c r="D7" s="2">
        <v>0</v>
      </c>
    </row>
    <row r="8" spans="1:8" ht="15" thickBot="1" x14ac:dyDescent="0.35">
      <c r="A8" s="3" t="str">
        <f t="shared" si="0"/>
        <v>Conservador-HOTELARIAS</v>
      </c>
      <c r="B8" s="3" t="s">
        <v>18</v>
      </c>
      <c r="C8" s="4" t="s">
        <v>28</v>
      </c>
      <c r="D8" s="5">
        <v>0</v>
      </c>
    </row>
    <row r="9" spans="1:8" x14ac:dyDescent="0.3">
      <c r="A9" t="str">
        <f t="shared" si="0"/>
        <v>Moderado-PAPEL</v>
      </c>
      <c r="B9" t="s">
        <v>33</v>
      </c>
      <c r="C9" s="1" t="s">
        <v>23</v>
      </c>
      <c r="D9" s="2">
        <v>0.32</v>
      </c>
    </row>
    <row r="10" spans="1:8" x14ac:dyDescent="0.3">
      <c r="A10" s="38" t="str">
        <f t="shared" si="0"/>
        <v>Moderado-TIJOLO</v>
      </c>
      <c r="B10" s="38" t="s">
        <v>33</v>
      </c>
      <c r="C10" s="39" t="s">
        <v>24</v>
      </c>
      <c r="D10" s="40">
        <v>0.35</v>
      </c>
    </row>
    <row r="11" spans="1:8" x14ac:dyDescent="0.3">
      <c r="A11" t="str">
        <f t="shared" si="0"/>
        <v>Moderado-HÍBRIDOS</v>
      </c>
      <c r="B11" t="s">
        <v>33</v>
      </c>
      <c r="C11" s="1" t="s">
        <v>25</v>
      </c>
      <c r="D11" s="2">
        <v>0.08</v>
      </c>
    </row>
    <row r="12" spans="1:8" x14ac:dyDescent="0.3">
      <c r="A12" t="str">
        <f t="shared" si="0"/>
        <v>Moderado-FOFs</v>
      </c>
      <c r="B12" t="s">
        <v>33</v>
      </c>
      <c r="C12" s="1" t="s">
        <v>26</v>
      </c>
      <c r="D12" s="2">
        <v>0.05</v>
      </c>
    </row>
    <row r="13" spans="1:8" x14ac:dyDescent="0.3">
      <c r="A13" t="str">
        <f t="shared" si="0"/>
        <v>Moderado-DESENVOLVIMENTO</v>
      </c>
      <c r="B13" t="s">
        <v>33</v>
      </c>
      <c r="C13" s="1" t="s">
        <v>27</v>
      </c>
      <c r="D13" s="2">
        <v>0.1</v>
      </c>
    </row>
    <row r="14" spans="1:8" ht="15" thickBot="1" x14ac:dyDescent="0.35">
      <c r="A14" s="3" t="str">
        <f t="shared" si="0"/>
        <v>Moderado-HOTELARIAS</v>
      </c>
      <c r="B14" s="3" t="s">
        <v>33</v>
      </c>
      <c r="C14" s="4" t="s">
        <v>28</v>
      </c>
      <c r="D14" s="5">
        <v>0.1</v>
      </c>
    </row>
    <row r="15" spans="1:8" x14ac:dyDescent="0.3">
      <c r="A15" t="str">
        <f t="shared" si="0"/>
        <v>Agressivo-PAPEL</v>
      </c>
      <c r="B15" t="s">
        <v>34</v>
      </c>
      <c r="C15" s="1" t="s">
        <v>23</v>
      </c>
      <c r="D15" s="2">
        <v>0.5</v>
      </c>
    </row>
    <row r="16" spans="1:8" x14ac:dyDescent="0.3">
      <c r="A16" t="str">
        <f t="shared" si="0"/>
        <v>Agressivo-TIJOLO</v>
      </c>
      <c r="B16" t="s">
        <v>34</v>
      </c>
      <c r="C16" s="1" t="s">
        <v>24</v>
      </c>
      <c r="D16" s="2">
        <v>0.1</v>
      </c>
    </row>
    <row r="17" spans="1:4" x14ac:dyDescent="0.3">
      <c r="A17" t="str">
        <f t="shared" si="0"/>
        <v>Agressivo-HÍBRIDOS</v>
      </c>
      <c r="B17" t="s">
        <v>34</v>
      </c>
      <c r="C17" s="1" t="s">
        <v>25</v>
      </c>
      <c r="D17" s="2">
        <v>0.05</v>
      </c>
    </row>
    <row r="18" spans="1:4" x14ac:dyDescent="0.3">
      <c r="A18" t="str">
        <f t="shared" si="0"/>
        <v>Agressivo-FOFs</v>
      </c>
      <c r="B18" t="s">
        <v>34</v>
      </c>
      <c r="C18" s="1" t="s">
        <v>26</v>
      </c>
      <c r="D18" s="2">
        <v>0.05</v>
      </c>
    </row>
    <row r="19" spans="1:4" x14ac:dyDescent="0.3">
      <c r="A19" t="str">
        <f t="shared" si="0"/>
        <v>Agressivo-DESENVOLVIMENTO</v>
      </c>
      <c r="B19" t="s">
        <v>34</v>
      </c>
      <c r="C19" s="1" t="s">
        <v>27</v>
      </c>
      <c r="D19" s="2">
        <v>0.2</v>
      </c>
    </row>
    <row r="20" spans="1:4" x14ac:dyDescent="0.3">
      <c r="A20" t="str">
        <f t="shared" si="0"/>
        <v>Agressivo-HOTELARIAS</v>
      </c>
      <c r="B20" t="s">
        <v>34</v>
      </c>
      <c r="C20" s="1" t="s">
        <v>28</v>
      </c>
      <c r="D20" s="2">
        <v>0.1</v>
      </c>
    </row>
    <row r="21" spans="1:4" x14ac:dyDescent="0.3">
      <c r="D21" s="1"/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A6F044DD24F4D8199A05B691F1261" ma:contentTypeVersion="4" ma:contentTypeDescription="Crie um novo documento." ma:contentTypeScope="" ma:versionID="1f3973c0d7fda8985dbe83627a390310">
  <xsd:schema xmlns:xsd="http://www.w3.org/2001/XMLSchema" xmlns:xs="http://www.w3.org/2001/XMLSchema" xmlns:p="http://schemas.microsoft.com/office/2006/metadata/properties" xmlns:ns3="837b3209-1a72-42aa-a93b-7a8e21f61ea0" targetNamespace="http://schemas.microsoft.com/office/2006/metadata/properties" ma:root="true" ma:fieldsID="a821e445ba19b514b80ce86f723bc452" ns3:_="">
    <xsd:import namespace="837b3209-1a72-42aa-a93b-7a8e21f61e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b3209-1a72-42aa-a93b-7a8e21f61e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37b3209-1a72-42aa-a93b-7a8e21f61ea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564C00-0C3D-4A07-BAD0-3938C12FC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7b3209-1a72-42aa-a93b-7a8e21f61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Projeto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>ANA CLARA FERNANDES LIMA MOREIRA</cp:lastModifiedBy>
  <cp:revision/>
  <dcterms:created xsi:type="dcterms:W3CDTF">2025-04-16T18:38:03Z</dcterms:created>
  <dcterms:modified xsi:type="dcterms:W3CDTF">2026-10-17T02:19:53Z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0x010100974A6F044DD24F4D8199A05B691F1261</vt:lpwstr>
  </property>
</Properties>
</file>